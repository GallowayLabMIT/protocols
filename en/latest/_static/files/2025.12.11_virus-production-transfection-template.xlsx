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prod.sharepoint.com/sites/GallowayLab/Shared Documents/projects/shared/"/>
    </mc:Choice>
  </mc:AlternateContent>
  <xr:revisionPtr revIDLastSave="77" documentId="8_{794531F0-84AB-2B44-B776-5A8E52072EAF}" xr6:coauthVersionLast="47" xr6:coauthVersionMax="47" xr10:uidLastSave="{D902091D-699C-4343-AB7D-81A8579E6DF8}"/>
  <bookViews>
    <workbookView xWindow="0" yWindow="740" windowWidth="29400" windowHeight="16680" activeTab="1" xr2:uid="{00000000-000D-0000-FFFF-FFFF00000000}"/>
  </bookViews>
  <sheets>
    <sheet name="Transfection (10cm)" sheetId="1" r:id="rId1"/>
    <sheet name="Summary (10cm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" l="1"/>
  <c r="E7" i="2"/>
  <c r="E6" i="2"/>
  <c r="F8" i="1"/>
  <c r="F7" i="1"/>
  <c r="H8" i="1"/>
  <c r="J32" i="1" s="1"/>
  <c r="H7" i="1"/>
  <c r="B27" i="2"/>
  <c r="C27" i="2"/>
  <c r="D27" i="2"/>
  <c r="B28" i="2"/>
  <c r="C28" i="2"/>
  <c r="D28" i="2"/>
  <c r="B29" i="2"/>
  <c r="C29" i="2"/>
  <c r="D29" i="2"/>
  <c r="B30" i="2"/>
  <c r="C30" i="2"/>
  <c r="D30" i="2"/>
  <c r="F32" i="1"/>
  <c r="H32" i="1" s="1"/>
  <c r="G28" i="2" s="1"/>
  <c r="G32" i="1"/>
  <c r="I32" i="1"/>
  <c r="L32" i="1"/>
  <c r="H28" i="2" s="1"/>
  <c r="F31" i="1"/>
  <c r="H31" i="1" s="1"/>
  <c r="G27" i="2" s="1"/>
  <c r="G31" i="1"/>
  <c r="I31" i="1"/>
  <c r="J31" i="1"/>
  <c r="L31" i="1"/>
  <c r="H27" i="2" s="1"/>
  <c r="E32" i="1"/>
  <c r="K32" i="1" s="1"/>
  <c r="E28" i="2" s="1"/>
  <c r="E31" i="1"/>
  <c r="K31" i="1" s="1"/>
  <c r="E27" i="2" s="1"/>
  <c r="F27" i="2" l="1"/>
  <c r="F28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E16" i="1" l="1"/>
  <c r="K16" i="1" s="1"/>
  <c r="F16" i="1"/>
  <c r="E17" i="1"/>
  <c r="K17" i="1" s="1"/>
  <c r="F17" i="1"/>
  <c r="E18" i="1"/>
  <c r="K18" i="1" s="1"/>
  <c r="F18" i="1"/>
  <c r="E19" i="1"/>
  <c r="K19" i="1" s="1"/>
  <c r="F19" i="1"/>
  <c r="E20" i="1"/>
  <c r="K20" i="1" s="1"/>
  <c r="F20" i="1"/>
  <c r="E21" i="1"/>
  <c r="K21" i="1" s="1"/>
  <c r="E17" i="2" s="1"/>
  <c r="F21" i="1"/>
  <c r="E22" i="1"/>
  <c r="K22" i="1" s="1"/>
  <c r="E18" i="2" s="1"/>
  <c r="F22" i="1"/>
  <c r="E23" i="1"/>
  <c r="K23" i="1" s="1"/>
  <c r="E19" i="2" s="1"/>
  <c r="F23" i="1"/>
  <c r="E24" i="1"/>
  <c r="K24" i="1" s="1"/>
  <c r="E20" i="2" s="1"/>
  <c r="F24" i="1"/>
  <c r="E25" i="1"/>
  <c r="K25" i="1" s="1"/>
  <c r="E21" i="2" s="1"/>
  <c r="F25" i="1"/>
  <c r="E26" i="1"/>
  <c r="K26" i="1" s="1"/>
  <c r="E22" i="2" s="1"/>
  <c r="F26" i="1"/>
  <c r="E27" i="1"/>
  <c r="F27" i="1"/>
  <c r="K27" i="1"/>
  <c r="E23" i="2" s="1"/>
  <c r="E28" i="1"/>
  <c r="K28" i="1" s="1"/>
  <c r="E24" i="2" s="1"/>
  <c r="F28" i="1"/>
  <c r="E29" i="1"/>
  <c r="K29" i="1" s="1"/>
  <c r="E25" i="2" s="1"/>
  <c r="F29" i="1"/>
  <c r="E30" i="1"/>
  <c r="K30" i="1" s="1"/>
  <c r="E26" i="2" s="1"/>
  <c r="F30" i="1"/>
  <c r="E33" i="1"/>
  <c r="K33" i="1" s="1"/>
  <c r="E29" i="2" s="1"/>
  <c r="F33" i="1"/>
  <c r="L33" i="1"/>
  <c r="H29" i="2" s="1"/>
  <c r="E34" i="1"/>
  <c r="K34" i="1" s="1"/>
  <c r="E30" i="2" s="1"/>
  <c r="F34" i="1"/>
  <c r="L34" i="1"/>
  <c r="H30" i="2" s="1"/>
  <c r="B16" i="2"/>
  <c r="C16" i="2"/>
  <c r="D16" i="2"/>
  <c r="B14" i="2" l="1"/>
  <c r="C14" i="2"/>
  <c r="D14" i="2"/>
  <c r="B15" i="2"/>
  <c r="C15" i="2"/>
  <c r="D15" i="2"/>
  <c r="B12" i="2" l="1"/>
  <c r="C12" i="2"/>
  <c r="D12" i="2"/>
  <c r="B13" i="2"/>
  <c r="C13" i="2"/>
  <c r="D13" i="2"/>
  <c r="F7" i="2" l="1"/>
  <c r="F6" i="2"/>
  <c r="D11" i="2"/>
  <c r="C11" i="2"/>
  <c r="B11" i="2"/>
  <c r="D35" i="1"/>
  <c r="O15" i="1" s="1"/>
  <c r="E16" i="2"/>
  <c r="E15" i="2"/>
  <c r="E14" i="2"/>
  <c r="F15" i="1"/>
  <c r="E15" i="1"/>
  <c r="C9" i="1"/>
  <c r="I15" i="1" l="1"/>
  <c r="I24" i="1"/>
  <c r="I27" i="1"/>
  <c r="I29" i="1"/>
  <c r="I30" i="1"/>
  <c r="I18" i="1"/>
  <c r="F14" i="2" s="1"/>
  <c r="I33" i="1"/>
  <c r="F29" i="2" s="1"/>
  <c r="I34" i="1"/>
  <c r="I21" i="1"/>
  <c r="I22" i="1"/>
  <c r="I23" i="1"/>
  <c r="I25" i="1"/>
  <c r="I26" i="1"/>
  <c r="F22" i="2" s="1"/>
  <c r="I28" i="1"/>
  <c r="I20" i="1"/>
  <c r="I16" i="1"/>
  <c r="I17" i="1"/>
  <c r="I19" i="1"/>
  <c r="J34" i="1"/>
  <c r="J21" i="1"/>
  <c r="J23" i="1"/>
  <c r="J25" i="1"/>
  <c r="J27" i="1"/>
  <c r="J29" i="1"/>
  <c r="J33" i="1"/>
  <c r="J22" i="1"/>
  <c r="J24" i="1"/>
  <c r="J26" i="1"/>
  <c r="J28" i="1"/>
  <c r="J30" i="1"/>
  <c r="J20" i="1"/>
  <c r="J16" i="1"/>
  <c r="J17" i="1"/>
  <c r="J18" i="1"/>
  <c r="J19" i="1"/>
  <c r="G21" i="1"/>
  <c r="H21" i="1" s="1"/>
  <c r="G17" i="2" s="1"/>
  <c r="G22" i="1"/>
  <c r="H22" i="1" s="1"/>
  <c r="G18" i="2" s="1"/>
  <c r="G23" i="1"/>
  <c r="H23" i="1" s="1"/>
  <c r="G19" i="2" s="1"/>
  <c r="G24" i="1"/>
  <c r="H24" i="1" s="1"/>
  <c r="G20" i="2" s="1"/>
  <c r="G25" i="1"/>
  <c r="H25" i="1" s="1"/>
  <c r="G21" i="2" s="1"/>
  <c r="G26" i="1"/>
  <c r="H26" i="1" s="1"/>
  <c r="G22" i="2" s="1"/>
  <c r="G27" i="1"/>
  <c r="H27" i="1" s="1"/>
  <c r="G23" i="2" s="1"/>
  <c r="G28" i="1"/>
  <c r="H28" i="1" s="1"/>
  <c r="G24" i="2" s="1"/>
  <c r="G29" i="1"/>
  <c r="H29" i="1" s="1"/>
  <c r="G25" i="2" s="1"/>
  <c r="G30" i="1"/>
  <c r="H30" i="1" s="1"/>
  <c r="G26" i="2" s="1"/>
  <c r="G33" i="1"/>
  <c r="H33" i="1" s="1"/>
  <c r="G29" i="2" s="1"/>
  <c r="G17" i="1"/>
  <c r="H17" i="1" s="1"/>
  <c r="G13" i="2" s="1"/>
  <c r="G20" i="1"/>
  <c r="H20" i="1" s="1"/>
  <c r="G16" i="2" s="1"/>
  <c r="G16" i="1"/>
  <c r="H16" i="1" s="1"/>
  <c r="G18" i="1"/>
  <c r="H18" i="1" s="1"/>
  <c r="G14" i="2" s="1"/>
  <c r="G19" i="1"/>
  <c r="H19" i="1" s="1"/>
  <c r="G15" i="2" s="1"/>
  <c r="G34" i="1"/>
  <c r="H34" i="1" s="1"/>
  <c r="G30" i="2" s="1"/>
  <c r="E13" i="2"/>
  <c r="E12" i="2"/>
  <c r="K15" i="1"/>
  <c r="E11" i="2" s="1"/>
  <c r="J15" i="1"/>
  <c r="G12" i="2"/>
  <c r="G15" i="1"/>
  <c r="H15" i="1" s="1"/>
  <c r="F35" i="1"/>
  <c r="O16" i="1" s="1"/>
  <c r="C10" i="1"/>
  <c r="F16" i="2" l="1"/>
  <c r="F18" i="2"/>
  <c r="F19" i="2"/>
  <c r="F26" i="2"/>
  <c r="F21" i="2"/>
  <c r="F25" i="2"/>
  <c r="F12" i="2"/>
  <c r="F30" i="2"/>
  <c r="F24" i="2"/>
  <c r="F23" i="2"/>
  <c r="F20" i="2"/>
  <c r="F15" i="2"/>
  <c r="F13" i="2"/>
  <c r="F17" i="2"/>
  <c r="F11" i="2"/>
  <c r="L20" i="1"/>
  <c r="H16" i="2" s="1"/>
  <c r="L21" i="1"/>
  <c r="H17" i="2" s="1"/>
  <c r="L22" i="1"/>
  <c r="H18" i="2" s="1"/>
  <c r="L23" i="1"/>
  <c r="H19" i="2" s="1"/>
  <c r="L24" i="1"/>
  <c r="H20" i="2" s="1"/>
  <c r="L25" i="1"/>
  <c r="H21" i="2" s="1"/>
  <c r="L26" i="1"/>
  <c r="H22" i="2" s="1"/>
  <c r="L27" i="1"/>
  <c r="H23" i="2" s="1"/>
  <c r="L28" i="1"/>
  <c r="H24" i="2" s="1"/>
  <c r="L29" i="1"/>
  <c r="H25" i="2" s="1"/>
  <c r="L30" i="1"/>
  <c r="H26" i="2" s="1"/>
  <c r="L16" i="1"/>
  <c r="H12" i="2" s="1"/>
  <c r="L17" i="1"/>
  <c r="H13" i="2" s="1"/>
  <c r="L18" i="1"/>
  <c r="H14" i="2" s="1"/>
  <c r="L19" i="1"/>
  <c r="H15" i="2" s="1"/>
  <c r="L15" i="1"/>
  <c r="H11" i="2" s="1"/>
  <c r="G35" i="1"/>
  <c r="H35" i="1"/>
  <c r="G11" i="2"/>
  <c r="J35" i="1"/>
  <c r="O19" i="1" s="1"/>
  <c r="G7" i="2" s="1"/>
  <c r="I35" i="1"/>
  <c r="C6" i="2"/>
  <c r="G6" i="2" l="1"/>
  <c r="O17" i="1"/>
  <c r="C7" i="2" s="1"/>
  <c r="C5" i="2" s="1"/>
</calcChain>
</file>

<file path=xl/sharedStrings.xml><?xml version="1.0" encoding="utf-8"?>
<sst xmlns="http://schemas.openxmlformats.org/spreadsheetml/2006/main" count="68" uniqueCount="59">
  <si>
    <t>Only edit columns  or cells that say "edit"</t>
  </si>
  <si>
    <t>General Info for Virus Production</t>
  </si>
  <si>
    <t>Lentiviruses</t>
  </si>
  <si>
    <r>
      <t xml:space="preserve">Titrated PEI ratio </t>
    </r>
    <r>
      <rPr>
        <sz val="12"/>
        <color rgb="FFFF0000"/>
        <rFont val="Calibri"/>
        <family val="2"/>
      </rPr>
      <t>(edit)</t>
    </r>
  </si>
  <si>
    <t>N ug PEI: 1 ug DNA</t>
  </si>
  <si>
    <r>
      <t xml:space="preserve">Percent extra </t>
    </r>
    <r>
      <rPr>
        <sz val="12"/>
        <color rgb="FFFF0000"/>
        <rFont val="Calibri"/>
        <family val="2"/>
      </rPr>
      <t>(edit)</t>
    </r>
  </si>
  <si>
    <t>%</t>
  </si>
  <si>
    <t>Transfer plasmid per plate</t>
  </si>
  <si>
    <t>µg</t>
  </si>
  <si>
    <t>Packaging plasmid per plate</t>
  </si>
  <si>
    <t>Envelope plasmid per plate</t>
  </si>
  <si>
    <t>KO DMEM/plate</t>
  </si>
  <si>
    <t>mL</t>
  </si>
  <si>
    <t>(1 mg/mL PEI)/plate</t>
  </si>
  <si>
    <t>µL</t>
  </si>
  <si>
    <t>KO DMEM + PEI /plate</t>
  </si>
  <si>
    <t>DNA Calculations</t>
  </si>
  <si>
    <t>For all plates (includes extra)</t>
  </si>
  <si>
    <r>
      <t xml:space="preserve">Number of Plates </t>
    </r>
    <r>
      <rPr>
        <b/>
        <sz val="12"/>
        <color rgb="FFFF0000"/>
        <rFont val="Calibri"/>
        <family val="2"/>
      </rPr>
      <t>(edit)</t>
    </r>
  </si>
  <si>
    <t>KO DMEM needed [mL]</t>
  </si>
  <si>
    <t>PEI needed [µL]</t>
  </si>
  <si>
    <t>KO DMEM + PEI needed [mL]</t>
  </si>
  <si>
    <t>Volume total mix to add per plate [mL]</t>
  </si>
  <si>
    <t>Total Plates</t>
  </si>
  <si>
    <t>Total KO DMEM [mL]:</t>
  </si>
  <si>
    <t xml:space="preserve"> (includes extra for MM)</t>
  </si>
  <si>
    <t>Total PEI [µL]:</t>
  </si>
  <si>
    <t>Total psPAX2 [µL]:</t>
  </si>
  <si>
    <t>Total VSVG [µL]:</t>
  </si>
  <si>
    <t>Total</t>
  </si>
  <si>
    <t>KO DMEM + PEI Master Mix</t>
  </si>
  <si>
    <t>Total Packaging and Envelope</t>
  </si>
  <si>
    <t>Total MM</t>
  </si>
  <si>
    <t>Conc (ng/uL)</t>
  </si>
  <si>
    <t>Total req'd (uL)</t>
  </si>
  <si>
    <t>KO DMEM</t>
  </si>
  <si>
    <t>psPAX2</t>
  </si>
  <si>
    <t>PEI</t>
  </si>
  <si>
    <t>uL</t>
  </si>
  <si>
    <t>Conditions</t>
  </si>
  <si>
    <t>Name</t>
  </si>
  <si>
    <t>Num Plates</t>
  </si>
  <si>
    <t>MM (mL)</t>
  </si>
  <si>
    <t>Per Plate (mL)</t>
  </si>
  <si>
    <r>
      <t xml:space="preserve">Conc </t>
    </r>
    <r>
      <rPr>
        <b/>
        <sz val="12"/>
        <color rgb="FFFF0000"/>
        <rFont val="Calibri"/>
        <family val="2"/>
      </rPr>
      <t xml:space="preserve">(edit) </t>
    </r>
    <r>
      <rPr>
        <b/>
        <sz val="12"/>
        <color theme="1"/>
        <rFont val="Calibri"/>
        <family val="2"/>
      </rPr>
      <t xml:space="preserve">                         [ng/µL]</t>
    </r>
  </si>
  <si>
    <t>&lt;--- replace with pIK-MLVgp for retroviruses</t>
  </si>
  <si>
    <t>&lt;-- replace with pHDMG for retroviruses</t>
  </si>
  <si>
    <t>Lentivirus production: Transfection template</t>
  </si>
  <si>
    <t>Pack.+Env. (uL)</t>
  </si>
  <si>
    <t>Transfer (uL)</t>
  </si>
  <si>
    <t>pMD2.G</t>
  </si>
  <si>
    <r>
      <t>[ng/µL]</t>
    </r>
    <r>
      <rPr>
        <sz val="12"/>
        <color rgb="FFFF0000"/>
        <rFont val="Calibri"/>
        <family val="2"/>
      </rPr>
      <t xml:space="preserve"> (edit)</t>
    </r>
  </si>
  <si>
    <r>
      <t xml:space="preserve">[ng/µL] </t>
    </r>
    <r>
      <rPr>
        <sz val="12"/>
        <color rgb="FFFF0000"/>
        <rFont val="Calibri"/>
        <family val="2"/>
      </rPr>
      <t>(edit)</t>
    </r>
  </si>
  <si>
    <t>per plate [µL]</t>
  </si>
  <si>
    <t>Packaging Needed [uL]</t>
  </si>
  <si>
    <t>Envelope Needed [uL]</t>
  </si>
  <si>
    <t>Transfer Plasmid DNA needed [uL]</t>
  </si>
  <si>
    <t>Volume transfer plasmid DNA per plate [µL]</t>
  </si>
  <si>
    <r>
      <t>Transfer Plasmid Name</t>
    </r>
    <r>
      <rPr>
        <b/>
        <sz val="12"/>
        <color rgb="FFFF0000"/>
        <rFont val="Calibri"/>
        <family val="2"/>
      </rPr>
      <t xml:space="preserve"> (edit)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</si>
</sst>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Helvetica Neue"/>
      <family val="2"/>
    </font>
    <font>
      <b/>
      <sz val="14"/>
      <color theme="1"/>
      <name val="Helvetica Neue"/>
      <family val="2"/>
    </font>
    <font>
      <sz val="10"/>
      <color theme="1"/>
      <name val="Helvetica Neue"/>
      <family val="2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164" fontId="0" fillId="3" borderId="0" xfId="0" applyNumberFormat="1" applyFill="1" applyAlignment="1">
      <alignment horizontal="left"/>
    </xf>
    <xf numFmtId="2" fontId="0" fillId="0" borderId="0" xfId="0" applyNumberFormat="1"/>
    <xf numFmtId="0" fontId="3" fillId="0" borderId="0" xfId="0" applyFont="1" applyAlignment="1">
      <alignment horizontal="right" vertical="center" wrapText="1"/>
    </xf>
    <xf numFmtId="2" fontId="3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/>
    <xf numFmtId="1" fontId="10" fillId="3" borderId="1" xfId="0" applyNumberFormat="1" applyFont="1" applyFill="1" applyBorder="1"/>
    <xf numFmtId="2" fontId="3" fillId="0" borderId="1" xfId="0" applyNumberFormat="1" applyFont="1" applyBorder="1"/>
    <xf numFmtId="2" fontId="0" fillId="0" borderId="1" xfId="0" applyNumberFormat="1" applyBorder="1"/>
    <xf numFmtId="2" fontId="10" fillId="0" borderId="1" xfId="0" applyNumberFormat="1" applyFont="1" applyBorder="1"/>
    <xf numFmtId="0" fontId="3" fillId="5" borderId="1" xfId="0" applyFont="1" applyFill="1" applyBorder="1" applyAlignment="1">
      <alignment wrapText="1"/>
    </xf>
    <xf numFmtId="165" fontId="10" fillId="5" borderId="1" xfId="0" applyNumberFormat="1" applyFont="1" applyFill="1" applyBorder="1"/>
    <xf numFmtId="0" fontId="12" fillId="0" borderId="0" xfId="0" applyFont="1"/>
    <xf numFmtId="0" fontId="10" fillId="0" borderId="0" xfId="0" applyFont="1"/>
    <xf numFmtId="0" fontId="13" fillId="0" borderId="5" xfId="0" applyFont="1" applyBorder="1"/>
    <xf numFmtId="0" fontId="11" fillId="0" borderId="5" xfId="0" applyFont="1" applyBorder="1"/>
    <xf numFmtId="2" fontId="7" fillId="0" borderId="5" xfId="0" applyNumberFormat="1" applyFont="1" applyBorder="1"/>
    <xf numFmtId="2" fontId="11" fillId="0" borderId="5" xfId="0" applyNumberFormat="1" applyFont="1" applyBorder="1"/>
    <xf numFmtId="0" fontId="3" fillId="5" borderId="6" xfId="0" applyFont="1" applyFill="1" applyBorder="1" applyAlignment="1">
      <alignment wrapText="1"/>
    </xf>
    <xf numFmtId="165" fontId="10" fillId="5" borderId="7" xfId="0" applyNumberFormat="1" applyFont="1" applyFill="1" applyBorder="1"/>
    <xf numFmtId="0" fontId="3" fillId="5" borderId="8" xfId="0" applyFont="1" applyFill="1" applyBorder="1" applyAlignment="1">
      <alignment wrapText="1"/>
    </xf>
    <xf numFmtId="165" fontId="10" fillId="5" borderId="9" xfId="0" applyNumberFormat="1" applyFont="1" applyFill="1" applyBorder="1"/>
    <xf numFmtId="0" fontId="3" fillId="5" borderId="4" xfId="0" applyFont="1" applyFill="1" applyBorder="1" applyAlignment="1">
      <alignment wrapText="1"/>
    </xf>
    <xf numFmtId="0" fontId="3" fillId="5" borderId="10" xfId="0" applyFont="1" applyFill="1" applyBorder="1" applyAlignment="1">
      <alignment wrapText="1"/>
    </xf>
    <xf numFmtId="165" fontId="10" fillId="5" borderId="10" xfId="0" applyNumberFormat="1" applyFont="1" applyFill="1" applyBorder="1"/>
    <xf numFmtId="0" fontId="7" fillId="6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4" fillId="0" borderId="1" xfId="0" applyFont="1" applyBorder="1" applyAlignment="1">
      <alignment wrapText="1"/>
    </xf>
    <xf numFmtId="164" fontId="14" fillId="0" borderId="1" xfId="0" applyNumberFormat="1" applyFont="1" applyBorder="1"/>
    <xf numFmtId="2" fontId="14" fillId="0" borderId="1" xfId="0" applyNumberFormat="1" applyFont="1" applyBorder="1"/>
    <xf numFmtId="0" fontId="14" fillId="7" borderId="1" xfId="0" applyFont="1" applyFill="1" applyBorder="1"/>
    <xf numFmtId="0" fontId="14" fillId="0" borderId="1" xfId="0" applyFont="1" applyBorder="1"/>
    <xf numFmtId="0" fontId="5" fillId="0" borderId="0" xfId="0" applyFont="1" applyAlignment="1">
      <alignment vertical="center" textRotation="90"/>
    </xf>
    <xf numFmtId="1" fontId="14" fillId="0" borderId="1" xfId="0" applyNumberFormat="1" applyFont="1" applyBorder="1"/>
    <xf numFmtId="0" fontId="18" fillId="3" borderId="1" xfId="0" applyFont="1" applyFill="1" applyBorder="1"/>
    <xf numFmtId="0" fontId="16" fillId="0" borderId="2" xfId="0" applyFont="1" applyBorder="1" applyAlignment="1">
      <alignment wrapText="1"/>
    </xf>
    <xf numFmtId="0" fontId="14" fillId="7" borderId="2" xfId="0" applyFont="1" applyFill="1" applyBorder="1"/>
    <xf numFmtId="165" fontId="14" fillId="0" borderId="1" xfId="0" applyNumberFormat="1" applyFont="1" applyBorder="1"/>
    <xf numFmtId="0" fontId="14" fillId="0" borderId="0" xfId="0" applyFont="1" applyAlignment="1">
      <alignment vertical="center"/>
    </xf>
    <xf numFmtId="0" fontId="15" fillId="0" borderId="11" xfId="0" applyFont="1" applyBorder="1"/>
    <xf numFmtId="1" fontId="14" fillId="0" borderId="1" xfId="0" applyNumberFormat="1" applyFont="1" applyBorder="1" applyAlignment="1">
      <alignment horizontal="center"/>
    </xf>
    <xf numFmtId="0" fontId="14" fillId="7" borderId="1" xfId="0" applyFont="1" applyFill="1" applyBorder="1" applyAlignment="1">
      <alignment wrapText="1"/>
    </xf>
    <xf numFmtId="164" fontId="14" fillId="7" borderId="1" xfId="0" applyNumberFormat="1" applyFont="1" applyFill="1" applyBorder="1"/>
    <xf numFmtId="0" fontId="14" fillId="8" borderId="1" xfId="0" applyFont="1" applyFill="1" applyBorder="1"/>
    <xf numFmtId="165" fontId="14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0" fillId="3" borderId="0" xfId="0" applyFont="1" applyFill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9C1E3"/>
      <color rgb="FFE8DCEF"/>
      <color rgb="FFD9CEDF"/>
      <color rgb="FFF4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workbookViewId="0">
      <selection activeCell="J8" sqref="J8"/>
    </sheetView>
  </sheetViews>
  <sheetFormatPr baseColWidth="10" defaultColWidth="12.33203125" defaultRowHeight="15" x14ac:dyDescent="0.2"/>
  <cols>
    <col min="2" max="2" width="31.33203125" customWidth="1"/>
    <col min="3" max="13" width="14.33203125" customWidth="1"/>
    <col min="14" max="14" width="27.83203125" customWidth="1"/>
  </cols>
  <sheetData>
    <row r="1" spans="1:16" ht="21" x14ac:dyDescent="0.25">
      <c r="B1" s="1" t="s">
        <v>0</v>
      </c>
    </row>
    <row r="2" spans="1:16" ht="24" x14ac:dyDescent="0.25">
      <c r="A2" s="1"/>
      <c r="B2" s="60" t="s">
        <v>1</v>
      </c>
      <c r="C2" s="60"/>
      <c r="D2" s="60"/>
      <c r="E2" s="2"/>
      <c r="F2" s="60" t="s">
        <v>2</v>
      </c>
      <c r="G2" s="60"/>
    </row>
    <row r="3" spans="1:16" ht="16" x14ac:dyDescent="0.2">
      <c r="B3" s="3" t="s">
        <v>3</v>
      </c>
      <c r="C3" s="4">
        <v>4</v>
      </c>
      <c r="D3" s="5" t="s">
        <v>4</v>
      </c>
      <c r="F3" s="65" t="s">
        <v>36</v>
      </c>
      <c r="G3" s="65" t="s">
        <v>51</v>
      </c>
      <c r="H3" s="64">
        <v>500</v>
      </c>
      <c r="I3" s="27" t="s">
        <v>45</v>
      </c>
    </row>
    <row r="4" spans="1:16" ht="16" x14ac:dyDescent="0.2">
      <c r="B4" s="3" t="s">
        <v>5</v>
      </c>
      <c r="C4" s="7">
        <v>0</v>
      </c>
      <c r="D4" s="5" t="s">
        <v>6</v>
      </c>
      <c r="F4" s="65" t="s">
        <v>50</v>
      </c>
      <c r="G4" s="65" t="s">
        <v>52</v>
      </c>
      <c r="H4" s="64">
        <v>500</v>
      </c>
      <c r="I4" s="27" t="s">
        <v>46</v>
      </c>
    </row>
    <row r="5" spans="1:16" ht="16" x14ac:dyDescent="0.2">
      <c r="B5" s="3" t="s">
        <v>7</v>
      </c>
      <c r="C5" s="5">
        <v>6</v>
      </c>
      <c r="D5" s="5" t="s">
        <v>8</v>
      </c>
      <c r="F5" s="5" t="s">
        <v>5</v>
      </c>
      <c r="H5" s="7">
        <v>0</v>
      </c>
      <c r="I5" s="5" t="s">
        <v>6</v>
      </c>
    </row>
    <row r="6" spans="1:16" ht="16" x14ac:dyDescent="0.2">
      <c r="B6" s="3" t="s">
        <v>9</v>
      </c>
      <c r="C6" s="5">
        <v>6</v>
      </c>
      <c r="D6" s="5" t="s">
        <v>8</v>
      </c>
    </row>
    <row r="7" spans="1:16" ht="16" x14ac:dyDescent="0.2">
      <c r="B7" s="3" t="s">
        <v>10</v>
      </c>
      <c r="C7" s="5">
        <v>12</v>
      </c>
      <c r="D7" s="5" t="s">
        <v>8</v>
      </c>
      <c r="F7" s="65" t="str">
        <f>F3</f>
        <v>psPAX2</v>
      </c>
      <c r="G7" s="65" t="s">
        <v>53</v>
      </c>
      <c r="H7" s="8">
        <f>C6*1000/H3*(1+$H$5/100)</f>
        <v>12</v>
      </c>
    </row>
    <row r="8" spans="1:16" ht="16" x14ac:dyDescent="0.2">
      <c r="B8" s="3" t="s">
        <v>11</v>
      </c>
      <c r="C8" s="5">
        <v>1.33</v>
      </c>
      <c r="D8" s="5" t="s">
        <v>12</v>
      </c>
      <c r="F8" s="65" t="str">
        <f>F4</f>
        <v>pMD2.G</v>
      </c>
      <c r="G8" s="65" t="s">
        <v>53</v>
      </c>
      <c r="H8" s="8">
        <f>C7*1000/H4*(1+$H$5/100)</f>
        <v>24</v>
      </c>
    </row>
    <row r="9" spans="1:16" ht="17" x14ac:dyDescent="0.2">
      <c r="B9" s="9" t="s">
        <v>13</v>
      </c>
      <c r="C9" s="10">
        <f>C3*(C5+C6+C7)</f>
        <v>96</v>
      </c>
      <c r="D9" s="5" t="s">
        <v>14</v>
      </c>
    </row>
    <row r="10" spans="1:16" ht="16" x14ac:dyDescent="0.2">
      <c r="B10" s="3" t="s">
        <v>15</v>
      </c>
      <c r="C10" s="11">
        <f>C8+C9/1000</f>
        <v>1.4260000000000002</v>
      </c>
      <c r="D10" s="5" t="s">
        <v>12</v>
      </c>
    </row>
    <row r="11" spans="1:16" ht="16" x14ac:dyDescent="0.2">
      <c r="B11" s="3"/>
      <c r="C11" s="12"/>
      <c r="D11" s="5"/>
    </row>
    <row r="13" spans="1:16" ht="26.25" customHeight="1" x14ac:dyDescent="0.2">
      <c r="A13" s="47"/>
      <c r="B13" s="13" t="s">
        <v>16</v>
      </c>
      <c r="C13" s="14"/>
      <c r="D13" s="14"/>
      <c r="E13" s="15"/>
      <c r="F13" s="61" t="s">
        <v>17</v>
      </c>
      <c r="G13" s="62"/>
      <c r="H13" s="62"/>
      <c r="I13" s="62"/>
      <c r="J13" s="62"/>
      <c r="K13" s="62"/>
      <c r="L13" s="16"/>
      <c r="O13" s="6"/>
    </row>
    <row r="14" spans="1:16" ht="78.75" customHeight="1" x14ac:dyDescent="0.2">
      <c r="A14" s="47"/>
      <c r="B14" s="17" t="s">
        <v>58</v>
      </c>
      <c r="C14" s="17" t="s">
        <v>44</v>
      </c>
      <c r="D14" s="17" t="s">
        <v>18</v>
      </c>
      <c r="E14" s="17" t="s">
        <v>57</v>
      </c>
      <c r="F14" s="18" t="s">
        <v>19</v>
      </c>
      <c r="G14" s="18" t="s">
        <v>20</v>
      </c>
      <c r="H14" s="18" t="s">
        <v>21</v>
      </c>
      <c r="I14" s="18" t="s">
        <v>54</v>
      </c>
      <c r="J14" s="18" t="s">
        <v>55</v>
      </c>
      <c r="K14" s="18" t="s">
        <v>56</v>
      </c>
      <c r="L14" s="39" t="s">
        <v>22</v>
      </c>
    </row>
    <row r="15" spans="1:16" ht="15.75" customHeight="1" x14ac:dyDescent="0.2">
      <c r="A15" s="47"/>
      <c r="B15" s="19"/>
      <c r="C15" s="49"/>
      <c r="D15" s="20"/>
      <c r="E15" s="21" t="e">
        <f>$C$5/C15*1000</f>
        <v>#DIV/0!</v>
      </c>
      <c r="F15" s="22">
        <f>$C$8*(1+$C$4/100)*D15</f>
        <v>0</v>
      </c>
      <c r="G15" s="22">
        <f>$C$9*(1+$C$4/100)*D15</f>
        <v>0</v>
      </c>
      <c r="H15" s="22">
        <f>F15+G15/1000</f>
        <v>0</v>
      </c>
      <c r="I15" s="22">
        <f>D15*$H$7*(1+$C$4/100)</f>
        <v>0</v>
      </c>
      <c r="J15" s="22">
        <f>D15*$H$8*(1+$C$4/100)</f>
        <v>0</v>
      </c>
      <c r="K15" s="23" t="e">
        <f>E15*(1+$C$4/100)*D15</f>
        <v>#DIV/0!</v>
      </c>
      <c r="L15" s="22">
        <f>IF(D15=0,0,E15+$C$10*1000+$H$7+$H$8)/1000</f>
        <v>0</v>
      </c>
      <c r="N15" s="36" t="s">
        <v>23</v>
      </c>
      <c r="O15" s="36">
        <f>D35</f>
        <v>0</v>
      </c>
    </row>
    <row r="16" spans="1:16" ht="14.25" customHeight="1" x14ac:dyDescent="0.2">
      <c r="A16" s="47"/>
      <c r="B16" s="19"/>
      <c r="C16" s="49"/>
      <c r="D16" s="20"/>
      <c r="E16" s="21" t="e">
        <f t="shared" ref="E16:E34" si="0">$C$5/C16*1000</f>
        <v>#DIV/0!</v>
      </c>
      <c r="F16" s="22">
        <f t="shared" ref="F16:F34" si="1">$C$8*(1+$C$4/100)*D16</f>
        <v>0</v>
      </c>
      <c r="G16" s="22">
        <f t="shared" ref="G16:G34" si="2">$C$9*(1+$C$4/100)*D16</f>
        <v>0</v>
      </c>
      <c r="H16" s="22">
        <f t="shared" ref="H16:H34" si="3">F16+G16/1000</f>
        <v>0</v>
      </c>
      <c r="I16" s="22">
        <f>D16*$H$7*(1+$C$4/100)</f>
        <v>0</v>
      </c>
      <c r="J16" s="22">
        <f>D16*$H$8*(1+$C$4/100)</f>
        <v>0</v>
      </c>
      <c r="K16" s="23" t="e">
        <f t="shared" ref="K16:K34" si="4">E16*(1+$C$4/100)*D16</f>
        <v>#DIV/0!</v>
      </c>
      <c r="L16" s="22">
        <f>IF(D16=0,0,E16+$C$10*1000+$H$7+$H$8)/1000</f>
        <v>0</v>
      </c>
      <c r="N16" s="32" t="s">
        <v>24</v>
      </c>
      <c r="O16" s="33">
        <f>F35*(1+10/100)</f>
        <v>0</v>
      </c>
      <c r="P16" t="s">
        <v>25</v>
      </c>
    </row>
    <row r="17" spans="1:17" ht="14.25" customHeight="1" x14ac:dyDescent="0.2">
      <c r="A17" s="47"/>
      <c r="B17" s="19"/>
      <c r="C17" s="49"/>
      <c r="D17" s="20"/>
      <c r="E17" s="21" t="e">
        <f t="shared" si="0"/>
        <v>#DIV/0!</v>
      </c>
      <c r="F17" s="22">
        <f t="shared" si="1"/>
        <v>0</v>
      </c>
      <c r="G17" s="22">
        <f t="shared" si="2"/>
        <v>0</v>
      </c>
      <c r="H17" s="22">
        <f t="shared" si="3"/>
        <v>0</v>
      </c>
      <c r="I17" s="22">
        <f>D17*$H$7*(1+$C$4/100)</f>
        <v>0</v>
      </c>
      <c r="J17" s="22">
        <f>D17*$H$8*(1+$C$4/100)</f>
        <v>0</v>
      </c>
      <c r="K17" s="23" t="e">
        <f t="shared" si="4"/>
        <v>#DIV/0!</v>
      </c>
      <c r="L17" s="22">
        <f>IF(D17=0,0,E17+$C$10*1000+$H$7+$H$8)/1000</f>
        <v>0</v>
      </c>
      <c r="N17" s="34" t="s">
        <v>26</v>
      </c>
      <c r="O17" s="35">
        <f>G35*(1+10/100)</f>
        <v>0</v>
      </c>
    </row>
    <row r="18" spans="1:17" ht="14.25" customHeight="1" x14ac:dyDescent="0.2">
      <c r="A18" s="47"/>
      <c r="B18" s="19"/>
      <c r="C18" s="49"/>
      <c r="D18" s="20"/>
      <c r="E18" s="21" t="e">
        <f t="shared" si="0"/>
        <v>#DIV/0!</v>
      </c>
      <c r="F18" s="22">
        <f t="shared" si="1"/>
        <v>0</v>
      </c>
      <c r="G18" s="22">
        <f t="shared" si="2"/>
        <v>0</v>
      </c>
      <c r="H18" s="22">
        <f t="shared" si="3"/>
        <v>0</v>
      </c>
      <c r="I18" s="22">
        <f>D18*$H$7*(1+$C$4/100)</f>
        <v>0</v>
      </c>
      <c r="J18" s="22">
        <f>D18*$H$8*(1+$C$4/100)</f>
        <v>0</v>
      </c>
      <c r="K18" s="23" t="e">
        <f t="shared" si="4"/>
        <v>#DIV/0!</v>
      </c>
      <c r="L18" s="22">
        <f>IF(D18=0,0,E18+$C$10*1000+$H$7+$H$8)/1000</f>
        <v>0</v>
      </c>
      <c r="N18" s="37" t="s">
        <v>27</v>
      </c>
      <c r="O18" s="38">
        <f>I35</f>
        <v>0</v>
      </c>
      <c r="P18" s="26"/>
    </row>
    <row r="19" spans="1:17" ht="15.75" customHeight="1" x14ac:dyDescent="0.2">
      <c r="A19" s="47"/>
      <c r="B19" s="19"/>
      <c r="C19" s="49"/>
      <c r="D19" s="20"/>
      <c r="E19" s="21" t="e">
        <f t="shared" si="0"/>
        <v>#DIV/0!</v>
      </c>
      <c r="F19" s="22">
        <f t="shared" si="1"/>
        <v>0</v>
      </c>
      <c r="G19" s="22">
        <f t="shared" si="2"/>
        <v>0</v>
      </c>
      <c r="H19" s="22">
        <f t="shared" si="3"/>
        <v>0</v>
      </c>
      <c r="I19" s="22">
        <f>D19*$H$7*(1+$C$4/100)</f>
        <v>0</v>
      </c>
      <c r="J19" s="22">
        <f>D19*$H$8*(1+$C$4/100)</f>
        <v>0</v>
      </c>
      <c r="K19" s="23" t="e">
        <f t="shared" si="4"/>
        <v>#DIV/0!</v>
      </c>
      <c r="L19" s="22">
        <f>IF(D19=0,0,E19+$C$10*1000+$H$7+$H$8)/1000</f>
        <v>0</v>
      </c>
      <c r="N19" s="24" t="s">
        <v>28</v>
      </c>
      <c r="O19" s="25">
        <f>J35</f>
        <v>0</v>
      </c>
    </row>
    <row r="20" spans="1:17" ht="15.75" customHeight="1" x14ac:dyDescent="0.2">
      <c r="A20" s="47"/>
      <c r="B20" s="19"/>
      <c r="C20" s="49"/>
      <c r="D20" s="20"/>
      <c r="E20" s="21" t="e">
        <f t="shared" si="0"/>
        <v>#DIV/0!</v>
      </c>
      <c r="F20" s="22">
        <f t="shared" si="1"/>
        <v>0</v>
      </c>
      <c r="G20" s="22">
        <f t="shared" si="2"/>
        <v>0</v>
      </c>
      <c r="H20" s="22">
        <f t="shared" si="3"/>
        <v>0</v>
      </c>
      <c r="I20" s="22">
        <f>D20*$H$7*(1+$C$4/100)</f>
        <v>0</v>
      </c>
      <c r="J20" s="22">
        <f>D20*$H$8*(1+$C$4/100)</f>
        <v>0</v>
      </c>
      <c r="K20" s="23" t="e">
        <f t="shared" si="4"/>
        <v>#DIV/0!</v>
      </c>
      <c r="L20" s="22">
        <f>IF(D20=0,0,E20+$C$10*1000+$H$7+$H$8)/1000</f>
        <v>0</v>
      </c>
    </row>
    <row r="21" spans="1:17" ht="15.75" customHeight="1" x14ac:dyDescent="0.2">
      <c r="A21" s="47"/>
      <c r="B21" s="19"/>
      <c r="C21" s="49"/>
      <c r="D21" s="20"/>
      <c r="E21" s="21" t="e">
        <f t="shared" si="0"/>
        <v>#DIV/0!</v>
      </c>
      <c r="F21" s="22">
        <f t="shared" si="1"/>
        <v>0</v>
      </c>
      <c r="G21" s="22">
        <f t="shared" si="2"/>
        <v>0</v>
      </c>
      <c r="H21" s="22">
        <f t="shared" si="3"/>
        <v>0</v>
      </c>
      <c r="I21" s="22">
        <f>D21*$H$7*(1+$C$4/100)</f>
        <v>0</v>
      </c>
      <c r="J21" s="22">
        <f>D21*$H$8*(1+$C$4/100)</f>
        <v>0</v>
      </c>
      <c r="K21" s="23" t="e">
        <f t="shared" si="4"/>
        <v>#DIV/0!</v>
      </c>
      <c r="L21" s="22">
        <f>IF(D21=0,0,E21+$C$10*1000+$H$7+$H$8)/1000</f>
        <v>0</v>
      </c>
    </row>
    <row r="22" spans="1:17" ht="15.75" customHeight="1" x14ac:dyDescent="0.2">
      <c r="A22" s="47"/>
      <c r="B22" s="19"/>
      <c r="C22" s="49"/>
      <c r="D22" s="20"/>
      <c r="E22" s="21" t="e">
        <f t="shared" si="0"/>
        <v>#DIV/0!</v>
      </c>
      <c r="F22" s="22">
        <f t="shared" si="1"/>
        <v>0</v>
      </c>
      <c r="G22" s="22">
        <f t="shared" si="2"/>
        <v>0</v>
      </c>
      <c r="H22" s="22">
        <f t="shared" si="3"/>
        <v>0</v>
      </c>
      <c r="I22" s="22">
        <f>D22*$H$7*(1+$C$4/100)</f>
        <v>0</v>
      </c>
      <c r="J22" s="22">
        <f>D22*$H$8*(1+$C$4/100)</f>
        <v>0</v>
      </c>
      <c r="K22" s="23" t="e">
        <f t="shared" si="4"/>
        <v>#DIV/0!</v>
      </c>
      <c r="L22" s="22">
        <f>IF(D22=0,0,E22+$C$10*1000+$H$7+$H$8)/1000</f>
        <v>0</v>
      </c>
      <c r="Q22" s="27"/>
    </row>
    <row r="23" spans="1:17" ht="15.75" customHeight="1" x14ac:dyDescent="0.2">
      <c r="A23" s="47"/>
      <c r="B23" s="19"/>
      <c r="C23" s="49"/>
      <c r="D23" s="20"/>
      <c r="E23" s="21" t="e">
        <f t="shared" si="0"/>
        <v>#DIV/0!</v>
      </c>
      <c r="F23" s="22">
        <f t="shared" si="1"/>
        <v>0</v>
      </c>
      <c r="G23" s="22">
        <f t="shared" si="2"/>
        <v>0</v>
      </c>
      <c r="H23" s="22">
        <f t="shared" si="3"/>
        <v>0</v>
      </c>
      <c r="I23" s="22">
        <f>D23*$H$7*(1+$C$4/100)</f>
        <v>0</v>
      </c>
      <c r="J23" s="22">
        <f>D23*$H$8*(1+$C$4/100)</f>
        <v>0</v>
      </c>
      <c r="K23" s="23" t="e">
        <f t="shared" si="4"/>
        <v>#DIV/0!</v>
      </c>
      <c r="L23" s="22">
        <f>IF(D23=0,0,E23+$C$10*1000+$H$7+$H$8)/1000</f>
        <v>0</v>
      </c>
    </row>
    <row r="24" spans="1:17" ht="15.75" customHeight="1" x14ac:dyDescent="0.2">
      <c r="A24" s="47"/>
      <c r="B24" s="19"/>
      <c r="C24" s="49"/>
      <c r="D24" s="20"/>
      <c r="E24" s="21" t="e">
        <f t="shared" si="0"/>
        <v>#DIV/0!</v>
      </c>
      <c r="F24" s="22">
        <f t="shared" si="1"/>
        <v>0</v>
      </c>
      <c r="G24" s="22">
        <f t="shared" si="2"/>
        <v>0</v>
      </c>
      <c r="H24" s="22">
        <f t="shared" si="3"/>
        <v>0</v>
      </c>
      <c r="I24" s="22">
        <f>D24*$H$7*(1+$C$4/100)</f>
        <v>0</v>
      </c>
      <c r="J24" s="22">
        <f>D24*$H$8*(1+$C$4/100)</f>
        <v>0</v>
      </c>
      <c r="K24" s="23" t="e">
        <f t="shared" si="4"/>
        <v>#DIV/0!</v>
      </c>
      <c r="L24" s="22">
        <f>IF(D24=0,0,E24+$C$10*1000+$H$7+$H$8)/1000</f>
        <v>0</v>
      </c>
    </row>
    <row r="25" spans="1:17" ht="15.75" customHeight="1" x14ac:dyDescent="0.2">
      <c r="A25" s="47"/>
      <c r="B25" s="19"/>
      <c r="C25" s="49"/>
      <c r="D25" s="20"/>
      <c r="E25" s="21" t="e">
        <f t="shared" si="0"/>
        <v>#DIV/0!</v>
      </c>
      <c r="F25" s="22">
        <f t="shared" si="1"/>
        <v>0</v>
      </c>
      <c r="G25" s="22">
        <f t="shared" si="2"/>
        <v>0</v>
      </c>
      <c r="H25" s="22">
        <f t="shared" si="3"/>
        <v>0</v>
      </c>
      <c r="I25" s="22">
        <f>D25*$H$7*(1+$C$4/100)</f>
        <v>0</v>
      </c>
      <c r="J25" s="22">
        <f>D25*$H$8*(1+$C$4/100)</f>
        <v>0</v>
      </c>
      <c r="K25" s="23" t="e">
        <f t="shared" si="4"/>
        <v>#DIV/0!</v>
      </c>
      <c r="L25" s="22">
        <f>IF(D25=0,0,E25+$C$10*1000+$H$7+$H$8)/1000</f>
        <v>0</v>
      </c>
    </row>
    <row r="26" spans="1:17" ht="15.75" customHeight="1" x14ac:dyDescent="0.2">
      <c r="A26" s="47"/>
      <c r="B26" s="19"/>
      <c r="C26" s="49"/>
      <c r="D26" s="20"/>
      <c r="E26" s="21" t="e">
        <f t="shared" si="0"/>
        <v>#DIV/0!</v>
      </c>
      <c r="F26" s="22">
        <f t="shared" si="1"/>
        <v>0</v>
      </c>
      <c r="G26" s="22">
        <f t="shared" si="2"/>
        <v>0</v>
      </c>
      <c r="H26" s="22">
        <f t="shared" si="3"/>
        <v>0</v>
      </c>
      <c r="I26" s="22">
        <f>D26*$H$7*(1+$C$4/100)</f>
        <v>0</v>
      </c>
      <c r="J26" s="22">
        <f>D26*$H$8*(1+$C$4/100)</f>
        <v>0</v>
      </c>
      <c r="K26" s="23" t="e">
        <f t="shared" si="4"/>
        <v>#DIV/0!</v>
      </c>
      <c r="L26" s="22">
        <f>IF(D26=0,0,E26+$C$10*1000+$H$7+$H$8)/1000</f>
        <v>0</v>
      </c>
    </row>
    <row r="27" spans="1:17" ht="15.75" customHeight="1" x14ac:dyDescent="0.2">
      <c r="A27" s="47"/>
      <c r="B27" s="19"/>
      <c r="C27" s="49"/>
      <c r="D27" s="20"/>
      <c r="E27" s="21" t="e">
        <f t="shared" si="0"/>
        <v>#DIV/0!</v>
      </c>
      <c r="F27" s="22">
        <f t="shared" si="1"/>
        <v>0</v>
      </c>
      <c r="G27" s="22">
        <f t="shared" si="2"/>
        <v>0</v>
      </c>
      <c r="H27" s="22">
        <f t="shared" si="3"/>
        <v>0</v>
      </c>
      <c r="I27" s="22">
        <f>D27*$H$7*(1+$C$4/100)</f>
        <v>0</v>
      </c>
      <c r="J27" s="22">
        <f>D27*$H$8*(1+$C$4/100)</f>
        <v>0</v>
      </c>
      <c r="K27" s="23" t="e">
        <f t="shared" si="4"/>
        <v>#DIV/0!</v>
      </c>
      <c r="L27" s="22">
        <f>IF(D27=0,0,E27+$C$10*1000+$H$7+$H$8)/1000</f>
        <v>0</v>
      </c>
    </row>
    <row r="28" spans="1:17" ht="15.75" customHeight="1" x14ac:dyDescent="0.2">
      <c r="A28" s="47"/>
      <c r="B28" s="19"/>
      <c r="C28" s="49"/>
      <c r="D28" s="20"/>
      <c r="E28" s="21" t="e">
        <f t="shared" si="0"/>
        <v>#DIV/0!</v>
      </c>
      <c r="F28" s="22">
        <f t="shared" si="1"/>
        <v>0</v>
      </c>
      <c r="G28" s="22">
        <f t="shared" si="2"/>
        <v>0</v>
      </c>
      <c r="H28" s="22">
        <f t="shared" si="3"/>
        <v>0</v>
      </c>
      <c r="I28" s="22">
        <f>D28*$H$7*(1+$C$4/100)</f>
        <v>0</v>
      </c>
      <c r="J28" s="22">
        <f>D28*$H$8*(1+$C$4/100)</f>
        <v>0</v>
      </c>
      <c r="K28" s="23" t="e">
        <f t="shared" si="4"/>
        <v>#DIV/0!</v>
      </c>
      <c r="L28" s="22">
        <f>IF(D28=0,0,E28+$C$10*1000+$H$7+$H$8)/1000</f>
        <v>0</v>
      </c>
    </row>
    <row r="29" spans="1:17" ht="15.75" customHeight="1" x14ac:dyDescent="0.2">
      <c r="A29" s="47"/>
      <c r="B29" s="19"/>
      <c r="C29" s="49"/>
      <c r="D29" s="20"/>
      <c r="E29" s="21" t="e">
        <f t="shared" si="0"/>
        <v>#DIV/0!</v>
      </c>
      <c r="F29" s="22">
        <f t="shared" si="1"/>
        <v>0</v>
      </c>
      <c r="G29" s="22">
        <f t="shared" si="2"/>
        <v>0</v>
      </c>
      <c r="H29" s="22">
        <f t="shared" si="3"/>
        <v>0</v>
      </c>
      <c r="I29" s="22">
        <f>D29*$H$7*(1+$C$4/100)</f>
        <v>0</v>
      </c>
      <c r="J29" s="22">
        <f>D29*$H$8*(1+$C$4/100)</f>
        <v>0</v>
      </c>
      <c r="K29" s="23" t="e">
        <f t="shared" si="4"/>
        <v>#DIV/0!</v>
      </c>
      <c r="L29" s="22">
        <f>IF(D29=0,0,E29+$C$10*1000+$H$7+$H$8)/1000</f>
        <v>0</v>
      </c>
    </row>
    <row r="30" spans="1:17" ht="15.75" customHeight="1" x14ac:dyDescent="0.2">
      <c r="A30" s="47"/>
      <c r="B30" s="19"/>
      <c r="C30" s="49"/>
      <c r="D30" s="20"/>
      <c r="E30" s="21" t="e">
        <f t="shared" si="0"/>
        <v>#DIV/0!</v>
      </c>
      <c r="F30" s="22">
        <f t="shared" si="1"/>
        <v>0</v>
      </c>
      <c r="G30" s="22">
        <f t="shared" si="2"/>
        <v>0</v>
      </c>
      <c r="H30" s="22">
        <f t="shared" si="3"/>
        <v>0</v>
      </c>
      <c r="I30" s="22">
        <f>D30*$H$7*(1+$C$4/100)</f>
        <v>0</v>
      </c>
      <c r="J30" s="22">
        <f>D30*$H$8*(1+$C$4/100)</f>
        <v>0</v>
      </c>
      <c r="K30" s="23" t="e">
        <f t="shared" si="4"/>
        <v>#DIV/0!</v>
      </c>
      <c r="L30" s="22">
        <f>IF(D30=0,0,E30+$C$10*1000+$H$7+$H$8)/1000</f>
        <v>0</v>
      </c>
    </row>
    <row r="31" spans="1:17" ht="15.75" customHeight="1" x14ac:dyDescent="0.2">
      <c r="A31" s="47"/>
      <c r="B31" s="19"/>
      <c r="C31" s="49"/>
      <c r="D31" s="20"/>
      <c r="E31" s="21" t="e">
        <f t="shared" si="0"/>
        <v>#DIV/0!</v>
      </c>
      <c r="F31" s="22">
        <f t="shared" si="1"/>
        <v>0</v>
      </c>
      <c r="G31" s="22">
        <f t="shared" si="2"/>
        <v>0</v>
      </c>
      <c r="H31" s="22">
        <f t="shared" si="3"/>
        <v>0</v>
      </c>
      <c r="I31" s="22">
        <f>D31*$H$7*(1+$C$4/100)</f>
        <v>0</v>
      </c>
      <c r="J31" s="22">
        <f>D31*$H$8*(1+$C$4/100)</f>
        <v>0</v>
      </c>
      <c r="K31" s="23" t="e">
        <f t="shared" si="4"/>
        <v>#DIV/0!</v>
      </c>
      <c r="L31" s="22">
        <f>IF(D31=0,0,E31+$C$10*1000+$H$7+$H$8)/1000</f>
        <v>0</v>
      </c>
    </row>
    <row r="32" spans="1:17" ht="15.75" customHeight="1" x14ac:dyDescent="0.2">
      <c r="A32" s="47"/>
      <c r="B32" s="19"/>
      <c r="C32" s="49"/>
      <c r="D32" s="20"/>
      <c r="E32" s="21" t="e">
        <f t="shared" si="0"/>
        <v>#DIV/0!</v>
      </c>
      <c r="F32" s="22">
        <f t="shared" si="1"/>
        <v>0</v>
      </c>
      <c r="G32" s="22">
        <f t="shared" si="2"/>
        <v>0</v>
      </c>
      <c r="H32" s="22">
        <f t="shared" si="3"/>
        <v>0</v>
      </c>
      <c r="I32" s="22">
        <f>D32*$H$7*(1+$C$4/100)</f>
        <v>0</v>
      </c>
      <c r="J32" s="22">
        <f>D32*$H$8*(1+$C$4/100)</f>
        <v>0</v>
      </c>
      <c r="K32" s="23" t="e">
        <f t="shared" si="4"/>
        <v>#DIV/0!</v>
      </c>
      <c r="L32" s="22">
        <f>IF(D32=0,0,E32+$C$10*1000+$H$7+$H$8)/1000</f>
        <v>0</v>
      </c>
    </row>
    <row r="33" spans="1:13" ht="15.75" customHeight="1" x14ac:dyDescent="0.2">
      <c r="A33" s="47"/>
      <c r="B33" s="19"/>
      <c r="C33" s="49"/>
      <c r="D33" s="20"/>
      <c r="E33" s="21" t="e">
        <f t="shared" si="0"/>
        <v>#DIV/0!</v>
      </c>
      <c r="F33" s="22">
        <f t="shared" si="1"/>
        <v>0</v>
      </c>
      <c r="G33" s="22">
        <f t="shared" si="2"/>
        <v>0</v>
      </c>
      <c r="H33" s="22">
        <f t="shared" si="3"/>
        <v>0</v>
      </c>
      <c r="I33" s="22">
        <f>D33*$H$7*(1+$C$4/100)</f>
        <v>0</v>
      </c>
      <c r="J33" s="22">
        <f>D33*$H$8*(1+$C$4/100)</f>
        <v>0</v>
      </c>
      <c r="K33" s="23" t="e">
        <f t="shared" si="4"/>
        <v>#DIV/0!</v>
      </c>
      <c r="L33" s="22">
        <f>IF(D33=0,0,E33+$C$10*1000+$H$7+$H$8)/1000</f>
        <v>0</v>
      </c>
    </row>
    <row r="34" spans="1:13" ht="15.75" customHeight="1" x14ac:dyDescent="0.2">
      <c r="A34" s="47"/>
      <c r="B34" s="19"/>
      <c r="C34" s="49"/>
      <c r="D34" s="20"/>
      <c r="E34" s="21" t="e">
        <f t="shared" si="0"/>
        <v>#DIV/0!</v>
      </c>
      <c r="F34" s="22">
        <f t="shared" si="1"/>
        <v>0</v>
      </c>
      <c r="G34" s="22">
        <f t="shared" si="2"/>
        <v>0</v>
      </c>
      <c r="H34" s="22">
        <f t="shared" si="3"/>
        <v>0</v>
      </c>
      <c r="I34" s="22">
        <f>D34*$H$7*(1+$C$4/100)</f>
        <v>0</v>
      </c>
      <c r="J34" s="22">
        <f>D34*$H$8*(1+$C$4/100)</f>
        <v>0</v>
      </c>
      <c r="K34" s="23" t="e">
        <f t="shared" si="4"/>
        <v>#DIV/0!</v>
      </c>
      <c r="L34" s="22">
        <f>IF(D34=0,0,E34+$C$10*1000+$H$7+$H$8)/1000</f>
        <v>0</v>
      </c>
    </row>
    <row r="35" spans="1:13" ht="15.75" customHeight="1" x14ac:dyDescent="0.2">
      <c r="A35" s="47"/>
      <c r="B35" s="28" t="s">
        <v>29</v>
      </c>
      <c r="C35" s="29"/>
      <c r="D35" s="29">
        <f>SUM(D15:D34)</f>
        <v>0</v>
      </c>
      <c r="E35" s="30"/>
      <c r="F35" s="31">
        <f>SUM(F15:F34)</f>
        <v>0</v>
      </c>
      <c r="G35" s="31">
        <f>SUM(G15:G34)</f>
        <v>0</v>
      </c>
      <c r="H35" s="31">
        <f>SUM(H15:H34)</f>
        <v>0</v>
      </c>
      <c r="I35" s="31">
        <f>SUM(I15:I34)</f>
        <v>0</v>
      </c>
      <c r="J35" s="31">
        <f>SUM(J15:J34)</f>
        <v>0</v>
      </c>
      <c r="K35" s="31"/>
      <c r="L35" s="31"/>
    </row>
    <row r="39" spans="1:13" ht="16" x14ac:dyDescent="0.2">
      <c r="M39" s="27"/>
    </row>
    <row r="40" spans="1:13" ht="16" x14ac:dyDescent="0.2">
      <c r="M40" s="26"/>
    </row>
  </sheetData>
  <mergeCells count="3">
    <mergeCell ref="B2:D2"/>
    <mergeCell ref="F13:K13"/>
    <mergeCell ref="F2:G2"/>
  </mergeCells>
  <phoneticPr fontId="1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0901A-71AA-4161-BEC3-203378705530}">
  <sheetPr>
    <pageSetUpPr fitToPage="1"/>
  </sheetPr>
  <dimension ref="A2:I30"/>
  <sheetViews>
    <sheetView tabSelected="1" zoomScale="120" zoomScaleNormal="120" workbookViewId="0">
      <selection activeCell="J7" sqref="J7"/>
    </sheetView>
  </sheetViews>
  <sheetFormatPr baseColWidth="10" defaultColWidth="10.1640625" defaultRowHeight="14" x14ac:dyDescent="0.15"/>
  <cols>
    <col min="1" max="1" width="5.33203125" style="40" customWidth="1"/>
    <col min="2" max="12" width="13.33203125" style="40" customWidth="1"/>
    <col min="13" max="16384" width="10.1640625" style="40"/>
  </cols>
  <sheetData>
    <row r="2" spans="1:9" ht="18" x14ac:dyDescent="0.2">
      <c r="B2" s="41" t="s">
        <v>47</v>
      </c>
      <c r="C2" s="41"/>
      <c r="E2" s="41"/>
    </row>
    <row r="4" spans="1:9" ht="18" x14ac:dyDescent="0.2">
      <c r="B4" s="63" t="s">
        <v>30</v>
      </c>
      <c r="C4" s="63"/>
      <c r="D4" s="63"/>
      <c r="E4" s="63" t="s">
        <v>31</v>
      </c>
      <c r="F4" s="63"/>
      <c r="G4" s="63"/>
    </row>
    <row r="5" spans="1:9" ht="15" x14ac:dyDescent="0.15">
      <c r="B5" s="56" t="s">
        <v>32</v>
      </c>
      <c r="C5" s="57">
        <f>C6+C7/1000</f>
        <v>0</v>
      </c>
      <c r="D5" s="40" t="s">
        <v>12</v>
      </c>
      <c r="F5" s="45" t="s">
        <v>33</v>
      </c>
      <c r="G5" s="45" t="s">
        <v>34</v>
      </c>
    </row>
    <row r="6" spans="1:9" ht="15" x14ac:dyDescent="0.15">
      <c r="B6" s="42" t="s">
        <v>35</v>
      </c>
      <c r="C6" s="43">
        <f>'Transfection (10cm)'!O16</f>
        <v>0</v>
      </c>
      <c r="D6" s="40" t="s">
        <v>12</v>
      </c>
      <c r="E6" s="42" t="str">
        <f>'Transfection (10cm)'!F3</f>
        <v>psPAX2</v>
      </c>
      <c r="F6" s="48">
        <f>'Transfection (10cm)'!H3</f>
        <v>500</v>
      </c>
      <c r="G6" s="52">
        <f>'Transfection (10cm)'!O18</f>
        <v>0</v>
      </c>
      <c r="H6" s="59"/>
      <c r="I6" s="59"/>
    </row>
    <row r="7" spans="1:9" ht="15" x14ac:dyDescent="0.15">
      <c r="B7" s="42" t="s">
        <v>37</v>
      </c>
      <c r="C7" s="52">
        <f>'Transfection (10cm)'!O17</f>
        <v>0</v>
      </c>
      <c r="D7" s="40" t="s">
        <v>38</v>
      </c>
      <c r="E7" s="42" t="str">
        <f>'Transfection (10cm)'!F4</f>
        <v>pMD2.G</v>
      </c>
      <c r="F7" s="48">
        <f>'Transfection (10cm)'!H4</f>
        <v>500</v>
      </c>
      <c r="G7" s="52">
        <f>'Transfection (10cm)'!O19</f>
        <v>0</v>
      </c>
    </row>
    <row r="8" spans="1:9" ht="14.25" customHeight="1" x14ac:dyDescent="0.15"/>
    <row r="9" spans="1:9" ht="18" customHeight="1" x14ac:dyDescent="0.2">
      <c r="B9" s="54" t="s">
        <v>39</v>
      </c>
      <c r="C9" s="54"/>
      <c r="D9" s="54"/>
      <c r="F9" s="53"/>
      <c r="G9" s="53"/>
      <c r="H9" s="53"/>
      <c r="I9" s="53"/>
    </row>
    <row r="10" spans="1:9" x14ac:dyDescent="0.15">
      <c r="B10" s="51" t="s">
        <v>40</v>
      </c>
      <c r="C10" s="45" t="s">
        <v>41</v>
      </c>
      <c r="D10" s="45" t="s">
        <v>33</v>
      </c>
      <c r="E10" s="58" t="s">
        <v>49</v>
      </c>
      <c r="F10" s="58" t="s">
        <v>48</v>
      </c>
      <c r="G10" s="58" t="s">
        <v>42</v>
      </c>
      <c r="H10" s="45" t="s">
        <v>43</v>
      </c>
    </row>
    <row r="11" spans="1:9" ht="14.25" customHeight="1" x14ac:dyDescent="0.15">
      <c r="A11" s="40">
        <v>1</v>
      </c>
      <c r="B11" s="50">
        <f>'Transfection (10cm)'!B15</f>
        <v>0</v>
      </c>
      <c r="C11" s="55">
        <f>'Transfection (10cm)'!D15</f>
        <v>0</v>
      </c>
      <c r="D11" s="46">
        <f>'Transfection (10cm)'!C15</f>
        <v>0</v>
      </c>
      <c r="E11" s="44" t="e">
        <f>'Transfection (10cm)'!K15</f>
        <v>#DIV/0!</v>
      </c>
      <c r="F11" s="52">
        <f>SUM('Transfection (10cm)'!I15:J15)</f>
        <v>0</v>
      </c>
      <c r="G11" s="43">
        <f>'Transfection (10cm)'!H15</f>
        <v>0</v>
      </c>
      <c r="H11" s="43">
        <f>'Transfection (10cm)'!L15</f>
        <v>0</v>
      </c>
    </row>
    <row r="12" spans="1:9" ht="14.25" customHeight="1" x14ac:dyDescent="0.15">
      <c r="A12" s="40">
        <v>2</v>
      </c>
      <c r="B12" s="50">
        <f>'Transfection (10cm)'!B16</f>
        <v>0</v>
      </c>
      <c r="C12" s="55">
        <f>'Transfection (10cm)'!D16</f>
        <v>0</v>
      </c>
      <c r="D12" s="46">
        <f>'Transfection (10cm)'!C16</f>
        <v>0</v>
      </c>
      <c r="E12" s="44" t="e">
        <f>'Transfection (10cm)'!K16</f>
        <v>#DIV/0!</v>
      </c>
      <c r="F12" s="52">
        <f>SUM('Transfection (10cm)'!I16:J16)</f>
        <v>0</v>
      </c>
      <c r="G12" s="43">
        <f>'Transfection (10cm)'!H16</f>
        <v>0</v>
      </c>
      <c r="H12" s="43">
        <f>'Transfection (10cm)'!L16</f>
        <v>0</v>
      </c>
    </row>
    <row r="13" spans="1:9" ht="14.25" customHeight="1" x14ac:dyDescent="0.15">
      <c r="A13" s="40">
        <v>3</v>
      </c>
      <c r="B13" s="50">
        <f>'Transfection (10cm)'!B17</f>
        <v>0</v>
      </c>
      <c r="C13" s="55">
        <f>'Transfection (10cm)'!D17</f>
        <v>0</v>
      </c>
      <c r="D13" s="46">
        <f>'Transfection (10cm)'!C17</f>
        <v>0</v>
      </c>
      <c r="E13" s="44" t="e">
        <f>'Transfection (10cm)'!K17</f>
        <v>#DIV/0!</v>
      </c>
      <c r="F13" s="52">
        <f>SUM('Transfection (10cm)'!I17:J17)</f>
        <v>0</v>
      </c>
      <c r="G13" s="43">
        <f>'Transfection (10cm)'!H17</f>
        <v>0</v>
      </c>
      <c r="H13" s="43">
        <f>'Transfection (10cm)'!L17</f>
        <v>0</v>
      </c>
    </row>
    <row r="14" spans="1:9" ht="14.25" customHeight="1" x14ac:dyDescent="0.15">
      <c r="A14" s="40">
        <v>4</v>
      </c>
      <c r="B14" s="50">
        <f>'Transfection (10cm)'!B18</f>
        <v>0</v>
      </c>
      <c r="C14" s="55">
        <f>'Transfection (10cm)'!D18</f>
        <v>0</v>
      </c>
      <c r="D14" s="46">
        <f>'Transfection (10cm)'!C18</f>
        <v>0</v>
      </c>
      <c r="E14" s="44" t="e">
        <f>'Transfection (10cm)'!K18</f>
        <v>#DIV/0!</v>
      </c>
      <c r="F14" s="52">
        <f>SUM('Transfection (10cm)'!I18:J18)</f>
        <v>0</v>
      </c>
      <c r="G14" s="43">
        <f>'Transfection (10cm)'!H18</f>
        <v>0</v>
      </c>
      <c r="H14" s="43">
        <f>'Transfection (10cm)'!L18</f>
        <v>0</v>
      </c>
    </row>
    <row r="15" spans="1:9" ht="14.25" customHeight="1" x14ac:dyDescent="0.15">
      <c r="A15" s="40">
        <v>5</v>
      </c>
      <c r="B15" s="50">
        <f>'Transfection (10cm)'!B19</f>
        <v>0</v>
      </c>
      <c r="C15" s="55">
        <f>'Transfection (10cm)'!D19</f>
        <v>0</v>
      </c>
      <c r="D15" s="46">
        <f>'Transfection (10cm)'!C19</f>
        <v>0</v>
      </c>
      <c r="E15" s="44" t="e">
        <f>'Transfection (10cm)'!K19</f>
        <v>#DIV/0!</v>
      </c>
      <c r="F15" s="52">
        <f>SUM('Transfection (10cm)'!I19:J19)</f>
        <v>0</v>
      </c>
      <c r="G15" s="43">
        <f>'Transfection (10cm)'!H19</f>
        <v>0</v>
      </c>
      <c r="H15" s="43">
        <f>'Transfection (10cm)'!L19</f>
        <v>0</v>
      </c>
    </row>
    <row r="16" spans="1:9" x14ac:dyDescent="0.15">
      <c r="A16" s="40">
        <v>6</v>
      </c>
      <c r="B16" s="50">
        <f>'Transfection (10cm)'!B20</f>
        <v>0</v>
      </c>
      <c r="C16" s="55">
        <f>'Transfection (10cm)'!D20</f>
        <v>0</v>
      </c>
      <c r="D16" s="46">
        <f>'Transfection (10cm)'!C20</f>
        <v>0</v>
      </c>
      <c r="E16" s="44" t="e">
        <f>'Transfection (10cm)'!K20</f>
        <v>#DIV/0!</v>
      </c>
      <c r="F16" s="52">
        <f>SUM('Transfection (10cm)'!I20:J20)</f>
        <v>0</v>
      </c>
      <c r="G16" s="43">
        <f>'Transfection (10cm)'!H20</f>
        <v>0</v>
      </c>
      <c r="H16" s="43">
        <f>'Transfection (10cm)'!L20</f>
        <v>0</v>
      </c>
    </row>
    <row r="17" spans="1:8" x14ac:dyDescent="0.15">
      <c r="A17" s="40">
        <v>7</v>
      </c>
      <c r="B17" s="50">
        <f>'Transfection (10cm)'!B21</f>
        <v>0</v>
      </c>
      <c r="C17" s="55">
        <f>'Transfection (10cm)'!D21</f>
        <v>0</v>
      </c>
      <c r="D17" s="46">
        <f>'Transfection (10cm)'!C21</f>
        <v>0</v>
      </c>
      <c r="E17" s="44" t="e">
        <f>'Transfection (10cm)'!K21</f>
        <v>#DIV/0!</v>
      </c>
      <c r="F17" s="52">
        <f>SUM('Transfection (10cm)'!I21:J21)</f>
        <v>0</v>
      </c>
      <c r="G17" s="43">
        <f>'Transfection (10cm)'!H21</f>
        <v>0</v>
      </c>
      <c r="H17" s="43">
        <f>'Transfection (10cm)'!L21</f>
        <v>0</v>
      </c>
    </row>
    <row r="18" spans="1:8" x14ac:dyDescent="0.15">
      <c r="A18" s="40">
        <v>8</v>
      </c>
      <c r="B18" s="50">
        <f>'Transfection (10cm)'!B22</f>
        <v>0</v>
      </c>
      <c r="C18" s="55">
        <f>'Transfection (10cm)'!D22</f>
        <v>0</v>
      </c>
      <c r="D18" s="46">
        <f>'Transfection (10cm)'!C22</f>
        <v>0</v>
      </c>
      <c r="E18" s="44" t="e">
        <f>'Transfection (10cm)'!K22</f>
        <v>#DIV/0!</v>
      </c>
      <c r="F18" s="52">
        <f>SUM('Transfection (10cm)'!I22:J22)</f>
        <v>0</v>
      </c>
      <c r="G18" s="43">
        <f>'Transfection (10cm)'!H22</f>
        <v>0</v>
      </c>
      <c r="H18" s="43">
        <f>'Transfection (10cm)'!L22</f>
        <v>0</v>
      </c>
    </row>
    <row r="19" spans="1:8" x14ac:dyDescent="0.15">
      <c r="A19" s="40">
        <v>9</v>
      </c>
      <c r="B19" s="50">
        <f>'Transfection (10cm)'!B23</f>
        <v>0</v>
      </c>
      <c r="C19" s="55">
        <f>'Transfection (10cm)'!D23</f>
        <v>0</v>
      </c>
      <c r="D19" s="46">
        <f>'Transfection (10cm)'!C23</f>
        <v>0</v>
      </c>
      <c r="E19" s="44" t="e">
        <f>'Transfection (10cm)'!K23</f>
        <v>#DIV/0!</v>
      </c>
      <c r="F19" s="52">
        <f>SUM('Transfection (10cm)'!I23:J23)</f>
        <v>0</v>
      </c>
      <c r="G19" s="43">
        <f>'Transfection (10cm)'!H23</f>
        <v>0</v>
      </c>
      <c r="H19" s="43">
        <f>'Transfection (10cm)'!L23</f>
        <v>0</v>
      </c>
    </row>
    <row r="20" spans="1:8" x14ac:dyDescent="0.15">
      <c r="A20" s="40">
        <v>10</v>
      </c>
      <c r="B20" s="50">
        <f>'Transfection (10cm)'!B24</f>
        <v>0</v>
      </c>
      <c r="C20" s="55">
        <f>'Transfection (10cm)'!D24</f>
        <v>0</v>
      </c>
      <c r="D20" s="46">
        <f>'Transfection (10cm)'!C24</f>
        <v>0</v>
      </c>
      <c r="E20" s="44" t="e">
        <f>'Transfection (10cm)'!K24</f>
        <v>#DIV/0!</v>
      </c>
      <c r="F20" s="52">
        <f>SUM('Transfection (10cm)'!I24:J24)</f>
        <v>0</v>
      </c>
      <c r="G20" s="43">
        <f>'Transfection (10cm)'!H24</f>
        <v>0</v>
      </c>
      <c r="H20" s="43">
        <f>'Transfection (10cm)'!L24</f>
        <v>0</v>
      </c>
    </row>
    <row r="21" spans="1:8" x14ac:dyDescent="0.15">
      <c r="A21" s="40">
        <v>11</v>
      </c>
      <c r="B21" s="50">
        <f>'Transfection (10cm)'!B25</f>
        <v>0</v>
      </c>
      <c r="C21" s="55">
        <f>'Transfection (10cm)'!D25</f>
        <v>0</v>
      </c>
      <c r="D21" s="46">
        <f>'Transfection (10cm)'!C25</f>
        <v>0</v>
      </c>
      <c r="E21" s="44" t="e">
        <f>'Transfection (10cm)'!K25</f>
        <v>#DIV/0!</v>
      </c>
      <c r="F21" s="52">
        <f>SUM('Transfection (10cm)'!I25:J25)</f>
        <v>0</v>
      </c>
      <c r="G21" s="43">
        <f>'Transfection (10cm)'!H25</f>
        <v>0</v>
      </c>
      <c r="H21" s="43">
        <f>'Transfection (10cm)'!L25</f>
        <v>0</v>
      </c>
    </row>
    <row r="22" spans="1:8" x14ac:dyDescent="0.15">
      <c r="A22" s="40">
        <v>12</v>
      </c>
      <c r="B22" s="50">
        <f>'Transfection (10cm)'!B26</f>
        <v>0</v>
      </c>
      <c r="C22" s="55">
        <f>'Transfection (10cm)'!D26</f>
        <v>0</v>
      </c>
      <c r="D22" s="46">
        <f>'Transfection (10cm)'!C26</f>
        <v>0</v>
      </c>
      <c r="E22" s="44" t="e">
        <f>'Transfection (10cm)'!K26</f>
        <v>#DIV/0!</v>
      </c>
      <c r="F22" s="52">
        <f>SUM('Transfection (10cm)'!I26:J26)</f>
        <v>0</v>
      </c>
      <c r="G22" s="43">
        <f>'Transfection (10cm)'!H26</f>
        <v>0</v>
      </c>
      <c r="H22" s="43">
        <f>'Transfection (10cm)'!L26</f>
        <v>0</v>
      </c>
    </row>
    <row r="23" spans="1:8" x14ac:dyDescent="0.15">
      <c r="A23" s="40">
        <v>13</v>
      </c>
      <c r="B23" s="50">
        <f>'Transfection (10cm)'!B27</f>
        <v>0</v>
      </c>
      <c r="C23" s="55">
        <f>'Transfection (10cm)'!D27</f>
        <v>0</v>
      </c>
      <c r="D23" s="46">
        <f>'Transfection (10cm)'!C27</f>
        <v>0</v>
      </c>
      <c r="E23" s="44" t="e">
        <f>'Transfection (10cm)'!K27</f>
        <v>#DIV/0!</v>
      </c>
      <c r="F23" s="52">
        <f>SUM('Transfection (10cm)'!I27:J27)</f>
        <v>0</v>
      </c>
      <c r="G23" s="43">
        <f>'Transfection (10cm)'!H27</f>
        <v>0</v>
      </c>
      <c r="H23" s="43">
        <f>'Transfection (10cm)'!L27</f>
        <v>0</v>
      </c>
    </row>
    <row r="24" spans="1:8" x14ac:dyDescent="0.15">
      <c r="A24" s="40">
        <v>14</v>
      </c>
      <c r="B24" s="50">
        <f>'Transfection (10cm)'!B28</f>
        <v>0</v>
      </c>
      <c r="C24" s="55">
        <f>'Transfection (10cm)'!D28</f>
        <v>0</v>
      </c>
      <c r="D24" s="46">
        <f>'Transfection (10cm)'!C28</f>
        <v>0</v>
      </c>
      <c r="E24" s="44" t="e">
        <f>'Transfection (10cm)'!K28</f>
        <v>#DIV/0!</v>
      </c>
      <c r="F24" s="52">
        <f>SUM('Transfection (10cm)'!I28:J28)</f>
        <v>0</v>
      </c>
      <c r="G24" s="43">
        <f>'Transfection (10cm)'!H28</f>
        <v>0</v>
      </c>
      <c r="H24" s="43">
        <f>'Transfection (10cm)'!L28</f>
        <v>0</v>
      </c>
    </row>
    <row r="25" spans="1:8" x14ac:dyDescent="0.15">
      <c r="A25" s="40">
        <v>15</v>
      </c>
      <c r="B25" s="50">
        <f>'Transfection (10cm)'!B29</f>
        <v>0</v>
      </c>
      <c r="C25" s="55">
        <f>'Transfection (10cm)'!D29</f>
        <v>0</v>
      </c>
      <c r="D25" s="46">
        <f>'Transfection (10cm)'!C29</f>
        <v>0</v>
      </c>
      <c r="E25" s="44" t="e">
        <f>'Transfection (10cm)'!K29</f>
        <v>#DIV/0!</v>
      </c>
      <c r="F25" s="52">
        <f>SUM('Transfection (10cm)'!I29:J29)</f>
        <v>0</v>
      </c>
      <c r="G25" s="43">
        <f>'Transfection (10cm)'!H29</f>
        <v>0</v>
      </c>
      <c r="H25" s="43">
        <f>'Transfection (10cm)'!L29</f>
        <v>0</v>
      </c>
    </row>
    <row r="26" spans="1:8" x14ac:dyDescent="0.15">
      <c r="A26" s="40">
        <v>16</v>
      </c>
      <c r="B26" s="50">
        <f>'Transfection (10cm)'!B30</f>
        <v>0</v>
      </c>
      <c r="C26" s="55">
        <f>'Transfection (10cm)'!D30</f>
        <v>0</v>
      </c>
      <c r="D26" s="46">
        <f>'Transfection (10cm)'!C30</f>
        <v>0</v>
      </c>
      <c r="E26" s="44" t="e">
        <f>'Transfection (10cm)'!K30</f>
        <v>#DIV/0!</v>
      </c>
      <c r="F26" s="52">
        <f>SUM('Transfection (10cm)'!I30:J30)</f>
        <v>0</v>
      </c>
      <c r="G26" s="43">
        <f>'Transfection (10cm)'!H30</f>
        <v>0</v>
      </c>
      <c r="H26" s="43">
        <f>'Transfection (10cm)'!L30</f>
        <v>0</v>
      </c>
    </row>
    <row r="27" spans="1:8" x14ac:dyDescent="0.15">
      <c r="A27" s="40">
        <v>17</v>
      </c>
      <c r="B27" s="50">
        <f>'Transfection (10cm)'!B31</f>
        <v>0</v>
      </c>
      <c r="C27" s="55">
        <f>'Transfection (10cm)'!D31</f>
        <v>0</v>
      </c>
      <c r="D27" s="46">
        <f>'Transfection (10cm)'!C31</f>
        <v>0</v>
      </c>
      <c r="E27" s="44" t="e">
        <f>'Transfection (10cm)'!K31</f>
        <v>#DIV/0!</v>
      </c>
      <c r="F27" s="52">
        <f>SUM('Transfection (10cm)'!I31:J31)</f>
        <v>0</v>
      </c>
      <c r="G27" s="43">
        <f>'Transfection (10cm)'!H31</f>
        <v>0</v>
      </c>
      <c r="H27" s="43">
        <f>'Transfection (10cm)'!L31</f>
        <v>0</v>
      </c>
    </row>
    <row r="28" spans="1:8" x14ac:dyDescent="0.15">
      <c r="A28" s="40">
        <v>18</v>
      </c>
      <c r="B28" s="50">
        <f>'Transfection (10cm)'!B32</f>
        <v>0</v>
      </c>
      <c r="C28" s="55">
        <f>'Transfection (10cm)'!D32</f>
        <v>0</v>
      </c>
      <c r="D28" s="46">
        <f>'Transfection (10cm)'!C32</f>
        <v>0</v>
      </c>
      <c r="E28" s="44" t="e">
        <f>'Transfection (10cm)'!K32</f>
        <v>#DIV/0!</v>
      </c>
      <c r="F28" s="52">
        <f>SUM('Transfection (10cm)'!I32:J32)</f>
        <v>0</v>
      </c>
      <c r="G28" s="43">
        <f>'Transfection (10cm)'!H32</f>
        <v>0</v>
      </c>
      <c r="H28" s="43">
        <f>'Transfection (10cm)'!L32</f>
        <v>0</v>
      </c>
    </row>
    <row r="29" spans="1:8" x14ac:dyDescent="0.15">
      <c r="A29" s="40">
        <v>19</v>
      </c>
      <c r="B29" s="50">
        <f>'Transfection (10cm)'!B33</f>
        <v>0</v>
      </c>
      <c r="C29" s="55">
        <f>'Transfection (10cm)'!D33</f>
        <v>0</v>
      </c>
      <c r="D29" s="46">
        <f>'Transfection (10cm)'!C33</f>
        <v>0</v>
      </c>
      <c r="E29" s="44" t="e">
        <f>'Transfection (10cm)'!K33</f>
        <v>#DIV/0!</v>
      </c>
      <c r="F29" s="52">
        <f>SUM('Transfection (10cm)'!I33:J33)</f>
        <v>0</v>
      </c>
      <c r="G29" s="43">
        <f>'Transfection (10cm)'!H33</f>
        <v>0</v>
      </c>
      <c r="H29" s="43">
        <f>'Transfection (10cm)'!L33</f>
        <v>0</v>
      </c>
    </row>
    <row r="30" spans="1:8" x14ac:dyDescent="0.15">
      <c r="A30" s="40">
        <v>20</v>
      </c>
      <c r="B30" s="50">
        <f>'Transfection (10cm)'!B34</f>
        <v>0</v>
      </c>
      <c r="C30" s="55">
        <f>'Transfection (10cm)'!D34</f>
        <v>0</v>
      </c>
      <c r="D30" s="46">
        <f>'Transfection (10cm)'!C34</f>
        <v>0</v>
      </c>
      <c r="E30" s="44" t="e">
        <f>'Transfection (10cm)'!K34</f>
        <v>#DIV/0!</v>
      </c>
      <c r="F30" s="52">
        <f>SUM('Transfection (10cm)'!I34:J34)</f>
        <v>0</v>
      </c>
      <c r="G30" s="43">
        <f>'Transfection (10cm)'!H34</f>
        <v>0</v>
      </c>
      <c r="H30" s="43">
        <f>'Transfection (10cm)'!L34</f>
        <v>0</v>
      </c>
    </row>
  </sheetData>
  <mergeCells count="2">
    <mergeCell ref="E4:G4"/>
    <mergeCell ref="B4:D4"/>
  </mergeCells>
  <pageMargins left="0.7" right="0.7" top="0.75" bottom="0.75" header="0.3" footer="0.3"/>
  <pageSetup scale="7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f810a4-b0f8-4738-97c8-de7ac07265cc">
      <Terms xmlns="http://schemas.microsoft.com/office/infopath/2007/PartnerControls"/>
    </lcf76f155ced4ddcb4097134ff3c332f>
    <TaxCatchAll xmlns="3d8b84cc-f399-4fea-a0e6-6b86b62bcbf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B7572DA45B4D4688B00B24B6294500" ma:contentTypeVersion="229" ma:contentTypeDescription="Create a new document." ma:contentTypeScope="" ma:versionID="4d6eea0522bfe8aa725a3dae86ba22f0">
  <xsd:schema xmlns:xsd="http://www.w3.org/2001/XMLSchema" xmlns:xs="http://www.w3.org/2001/XMLSchema" xmlns:p="http://schemas.microsoft.com/office/2006/metadata/properties" xmlns:ns1="http://schemas.microsoft.com/sharepoint/v3" xmlns:ns2="01f810a4-b0f8-4738-97c8-de7ac07265cc" xmlns:ns3="3d8b84cc-f399-4fea-a0e6-6b86b62bcbff" targetNamespace="http://schemas.microsoft.com/office/2006/metadata/properties" ma:root="true" ma:fieldsID="f5ad802894b8ad8b35fc1f06fa76b7c5" ns1:_="" ns2:_="" ns3:_="">
    <xsd:import namespace="http://schemas.microsoft.com/sharepoint/v3"/>
    <xsd:import namespace="01f810a4-b0f8-4738-97c8-de7ac07265cc"/>
    <xsd:import namespace="3d8b84cc-f399-4fea-a0e6-6b86b62bcb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dlc_Exempt" minOccurs="0"/>
                <xsd:element ref="ns1:_dlc_ExpireDateSaved" minOccurs="0"/>
                <xsd:element ref="ns1:_dlc_ExpireDa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26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27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28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810a4-b0f8-4738-97c8-de7ac0726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b84cc-f399-4fea-a0e6-6b86b62bcbf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b4e66e4-3a1b-407f-b538-758858f54f16}" ma:internalName="TaxCatchAll" ma:showField="CatchAllData" ma:web="3d8b84cc-f399-4fea-a0e6-6b86b62bcb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E52C90-A202-410D-B3AF-D6AC8409C8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268688-6264-4EC1-BC34-64802A41F39B}">
  <ds:schemaRefs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3d8b84cc-f399-4fea-a0e6-6b86b62bcbff"/>
    <ds:schemaRef ds:uri="01f810a4-b0f8-4738-97c8-de7ac07265cc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5D32A7D-F769-491E-A89A-B5C855783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810a4-b0f8-4738-97c8-de7ac07265cc"/>
    <ds:schemaRef ds:uri="3d8b84cc-f399-4fea-a0e6-6b86b62bcb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Transfection (10cm)</vt:lpstr>
      <vt:lpstr>Summary (10cm)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Kasey Love</cp:lastModifiedBy>
  <cp:revision/>
  <cp:lastPrinted>2025-10-13T14:32:43Z</cp:lastPrinted>
  <dcterms:created xsi:type="dcterms:W3CDTF">2022-01-07T01:16:21Z</dcterms:created>
  <dcterms:modified xsi:type="dcterms:W3CDTF">2025-12-11T23:47:00Z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>/sites/GallowayLab/Shared Documents</vt:lpwstr>
  </property>
  <property fmtid="{D5CDD505-2E9C-101B-9397-08002B2CF9AE}" pid="3" name="MediaServiceImageTags">
    <vt:lpwstr/>
  </property>
  <property fmtid="{D5CDD505-2E9C-101B-9397-08002B2CF9AE}" pid="4" name="ContentTypeId">
    <vt:lpwstr>0x010100DEB7572DA45B4D4688B00B24B6294500</vt:lpwstr>
  </property>
  <property fmtid="{D5CDD505-2E9C-101B-9397-08002B2CF9AE}" pid="5" name="ItemRetentionFormula">
    <vt:lpwstr/>
  </property>
</Properties>
</file>